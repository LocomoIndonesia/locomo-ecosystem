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. KAMPUS\BINUS\COE\Index Halal\"/>
    </mc:Choice>
  </mc:AlternateContent>
  <xr:revisionPtr revIDLastSave="0" documentId="13_ncr:1_{BB85C91F-99A3-468F-AE26-6A98A1C703C2}" xr6:coauthVersionLast="47" xr6:coauthVersionMax="47" xr10:uidLastSave="{00000000-0000-0000-0000-000000000000}"/>
  <bookViews>
    <workbookView xWindow="-108" yWindow="-108" windowWidth="23256" windowHeight="12456" activeTab="1" xr2:uid="{828471BC-9830-4A1B-86A1-7201ED27079B}"/>
  </bookViews>
  <sheets>
    <sheet name="Dimesi" sheetId="1" r:id="rId1"/>
    <sheet name="Framework" sheetId="2" r:id="rId2"/>
    <sheet name="Jenis indutri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7" i="2" l="1"/>
  <c r="O16" i="2"/>
  <c r="O15" i="2"/>
  <c r="O14" i="2"/>
  <c r="J4" i="2" l="1"/>
  <c r="G12" i="2"/>
  <c r="G10" i="2"/>
  <c r="G7" i="2"/>
  <c r="G4" i="2"/>
  <c r="H34" i="2"/>
  <c r="I42" i="2"/>
  <c r="I41" i="2"/>
  <c r="I40" i="2"/>
  <c r="I39" i="2"/>
  <c r="I38" i="2"/>
  <c r="H42" i="2"/>
  <c r="H41" i="2"/>
  <c r="H40" i="2"/>
  <c r="H39" i="2"/>
  <c r="H38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G32" i="2"/>
  <c r="G30" i="2"/>
  <c r="G28" i="2"/>
  <c r="G26" i="2"/>
  <c r="G24" i="2"/>
  <c r="G22" i="2"/>
  <c r="G20" i="2"/>
  <c r="G18" i="2"/>
  <c r="G16" i="2"/>
  <c r="G14" i="2"/>
  <c r="G6" i="1"/>
  <c r="G7" i="1"/>
  <c r="G8" i="1"/>
  <c r="G9" i="1"/>
  <c r="G5" i="1"/>
  <c r="F34" i="2"/>
  <c r="J42" i="2" l="1"/>
  <c r="J41" i="2"/>
  <c r="J40" i="2"/>
  <c r="J39" i="2"/>
  <c r="J34" i="2"/>
  <c r="J38" i="2"/>
  <c r="J43" i="2" s="1"/>
  <c r="G34" i="2"/>
</calcChain>
</file>

<file path=xl/sharedStrings.xml><?xml version="1.0" encoding="utf-8"?>
<sst xmlns="http://schemas.openxmlformats.org/spreadsheetml/2006/main" count="164" uniqueCount="129">
  <si>
    <t>No</t>
  </si>
  <si>
    <t>Dimensi</t>
  </si>
  <si>
    <t>Fokus Pengukuran</t>
  </si>
  <si>
    <t>Bobot</t>
  </si>
  <si>
    <t>Indikator</t>
  </si>
  <si>
    <t>Kepatuhan Syariah</t>
  </si>
  <si>
    <t>Kesesuaian dengan prinsip halal-thayyib, sertifikasi, dan integritas bahan</t>
  </si>
  <si>
    <t>Kualitas Produk</t>
  </si>
  <si>
    <t>Keamanan pangan, standar mutu, nilai gizi, dan kelayakan konsumsi</t>
  </si>
  <si>
    <t>Rantai Nilai Halal</t>
  </si>
  <si>
    <t>Integritas supply chain dari hulu ke hilir (sourcing, produksi, distribusi)</t>
  </si>
  <si>
    <t>Tata Kelola</t>
  </si>
  <si>
    <t>Sistem manajemen halal, SDM, audit internal, dan kepatuhan regulasi</t>
  </si>
  <si>
    <t>Dampak Sosial-Ekonomi</t>
  </si>
  <si>
    <t>Kontribusi ekonomi, penyerapan tenaga kerja, dan pemberdayaan masyarakat</t>
  </si>
  <si>
    <t>TOTAL</t>
  </si>
  <si>
    <t>FRAMEWORK 5 DIMENSI INDEKS</t>
  </si>
  <si>
    <t>Subdimensi</t>
  </si>
  <si>
    <t>Deskripsi</t>
  </si>
  <si>
    <t>1.1 Sertifikasi Halal</t>
  </si>
  <si>
    <t>SC-01: Status Sertifikat Halal</t>
  </si>
  <si>
    <t>Kepemilikan sertifikat halal BPJPH yang masih berlaku</t>
  </si>
  <si>
    <t>SC-02: Cakupan Sertifikasi</t>
  </si>
  <si>
    <t>Persentase produk yang tersertifikasi halal dari total produk</t>
  </si>
  <si>
    <t>SC-03: Konsistensi Sertifikasi</t>
  </si>
  <si>
    <t>Rekam jejak perpanjangan sertifikat tanpa pelanggaran</t>
  </si>
  <si>
    <t>1.2 Integritas Bahan</t>
  </si>
  <si>
    <t>SC-04: Kehalalan Bahan Baku</t>
  </si>
  <si>
    <t>% bahan baku yang memiliki sertifikat halal atau masuk daftar KMA 1360</t>
  </si>
  <si>
    <t>SC-05: Bebas Bahan Haram</t>
  </si>
  <si>
    <t>Konfirmasi tidak menggunakan bahan haram (babi, khamr, bangkai, darah, dll)</t>
  </si>
  <si>
    <t>SC-06: Bebas Bahan Berbahaya</t>
  </si>
  <si>
    <t>Tidak menggunakan bahan berbahaya sesuai Kepkaban BPJPH 150/2022</t>
  </si>
  <si>
    <t>1.3 Proses Produksi Halal</t>
  </si>
  <si>
    <t>SC-07: Pemisahan Fasilitas</t>
  </si>
  <si>
    <t>Pemisahan lokasi, alat, dan proses untuk produk halal vs non-halal</t>
  </si>
  <si>
    <t>SC-08: Bebas Kontaminasi Najis</t>
  </si>
  <si>
    <t>Prosedur pencegahan kontaminasi najis dalam proses produksi</t>
  </si>
  <si>
    <t>2.1 Keamanan Pangan</t>
  </si>
  <si>
    <t>PQ-01: Izin Edar</t>
  </si>
  <si>
    <t>Kepemilikan izin edar (PIRT/MD/ML) dari BPOM atau dinas terkait</t>
  </si>
  <si>
    <t>PQ-02: Sertifikat Higiene Sanitasi</t>
  </si>
  <si>
    <t>Kepemilikan SLHS (Sertifikat Laik Higiene Sanitasi) untuk produk tertentu</t>
  </si>
  <si>
    <t>2.2 Standar Mutu</t>
  </si>
  <si>
    <t>PQ-03: Sertifikasi SNI</t>
  </si>
  <si>
    <t>Kepemilikan sertifikat SNI untuk produk yang diwajibkan</t>
  </si>
  <si>
    <t>PQ-04: Sistem Manajemen Mutu</t>
  </si>
  <si>
    <t>Penerapan sistem manajemen mutu (ISO 22000, HACCP, GMP)</t>
  </si>
  <si>
    <t>2.3 Nilai Gizi &amp; Labeling</t>
  </si>
  <si>
    <t>PQ-05: Informasi Nilai Gizi</t>
  </si>
  <si>
    <t>Pencantuman informasi nilai gizi pada kemasan produk</t>
  </si>
  <si>
    <t>PQ-06: Kelengkapan Label</t>
  </si>
  <si>
    <t>Kelengkapan label produk sesuai regulasi (komposisi, tanggal kedaluwarsa, dll)</t>
  </si>
  <si>
    <t>3.1 Sourcing &amp; Procurement</t>
  </si>
  <si>
    <t>VC-01: Verifikasi Supplier</t>
  </si>
  <si>
    <t>Prosedur verifikasi status halal supplier bahan baku</t>
  </si>
  <si>
    <t>VC-02: Daftar Bahan Halal</t>
  </si>
  <si>
    <t>Ketersediaan dan pemeliharaan Daftar Bahan Halal yang disetujui</t>
  </si>
  <si>
    <t>3.2 Penyimpanan &amp; Handling</t>
  </si>
  <si>
    <t>VC-03: Segregasi Penyimpanan</t>
  </si>
  <si>
    <t>Pemisahan penyimpanan bahan/produk halal dari non-halal</t>
  </si>
  <si>
    <t>VC-04: Prosedur Handling</t>
  </si>
  <si>
    <t>SOP penanganan bahan untuk mencegah kontaminasi</t>
  </si>
  <si>
    <t>3.3 Distribusi &amp; Logistik</t>
  </si>
  <si>
    <t>VC-05: Transportasi Halal</t>
  </si>
  <si>
    <t>Penggunaan kendaraan yang tidak digunakan untuk produk non-halal</t>
  </si>
  <si>
    <t>VC-06: Ketertelusuran</t>
  </si>
  <si>
    <t>Sistem traceability dari bahan baku hingga produk jadi</t>
  </si>
  <si>
    <t>4.1 Struktur &amp; Kebijakan</t>
  </si>
  <si>
    <t>GV-01: Kebijakan Halal</t>
  </si>
  <si>
    <t>Ketersediaan dan sosialisasi kebijakan halal tertulis</t>
  </si>
  <si>
    <t>GV-02: Penyelia Halal</t>
  </si>
  <si>
    <t>Penetapan Penyelia/Penanggungjawab Halal yang kompeten</t>
  </si>
  <si>
    <t>4.2 SDM &amp; Kompetensi</t>
  </si>
  <si>
    <t>GV-03: Pelatihan Halal</t>
  </si>
  <si>
    <t>Pelaksanaan pelatihan/edukasi halal berkala untuk karyawan</t>
  </si>
  <si>
    <t>GV-04: Kompetensi Tim</t>
  </si>
  <si>
    <t>Sertifikasi/kompetensi tim yang menangani produk halal</t>
  </si>
  <si>
    <t>4.3 Monitoring &amp; Evaluasi</t>
  </si>
  <si>
    <t>GV-05: Audit Internal</t>
  </si>
  <si>
    <t>Pelaksanaan audit internal SJPH secara berkala</t>
  </si>
  <si>
    <t>GV-06: Tindak Lanjut</t>
  </si>
  <si>
    <t>Mekanisme tindak lanjut atas temuan ketidaksesuaian</t>
  </si>
  <si>
    <t>5.1 Kontribusi Ekonomi</t>
  </si>
  <si>
    <t>SE-01: Penyerapan Tenaga Kerja</t>
  </si>
  <si>
    <t>Jumlah tenaga kerja yang dipekerjakan</t>
  </si>
  <si>
    <t>SE-02: Pertumbuhan Usaha</t>
  </si>
  <si>
    <t>Tingkat pertumbuhan omset/produksi tahunan</t>
  </si>
  <si>
    <t>5.2 Pemberdayaan Lokal</t>
  </si>
  <si>
    <t>SE-03: Kemitraan UMKM</t>
  </si>
  <si>
    <t>Kemitraan dengan UMKM lokal sebagai supplier/distributor</t>
  </si>
  <si>
    <t>SE-04: Tanggung Jawab Sosial</t>
  </si>
  <si>
    <t>Program CSR/pemberdayaan masyarakat terkait halal</t>
  </si>
  <si>
    <t>KEPATUHAN SYARIAH</t>
  </si>
  <si>
    <t>KUALITAS PRODUK</t>
  </si>
  <si>
    <t>RANTAI NILAI HALAL</t>
  </si>
  <si>
    <t>TATA KELOLA</t>
  </si>
  <si>
    <t>DAMPAK SOSIAL EKONOMI</t>
  </si>
  <si>
    <t>INDEKS MAKANAN DAN MINUMAN HALAL (HFBI)</t>
  </si>
  <si>
    <t>Bobot  Indikator</t>
  </si>
  <si>
    <t>Skala ( 1-5)</t>
  </si>
  <si>
    <t xml:space="preserve">Bobot Dimensi </t>
  </si>
  <si>
    <t>Bobot Subdimensi</t>
  </si>
  <si>
    <t>Skor Tertimbang</t>
  </si>
  <si>
    <t>Rata-Rata Skala</t>
  </si>
  <si>
    <t>Skala Likert</t>
  </si>
  <si>
    <t>Keterangan</t>
  </si>
  <si>
    <t>Tidak Ada / Tidak Pernah / Sangat Buruk</t>
  </si>
  <si>
    <t>Kurang / Jarang / Buruk</t>
  </si>
  <si>
    <t>Cukup / Kadang-kadang / Sedang</t>
  </si>
  <si>
    <t>Baik / Sering / Memadai</t>
  </si>
  <si>
    <t>Sangat Baik / Selalu / Excellent</t>
  </si>
  <si>
    <t>KETERANGAN SKALA PENGUKURAN</t>
  </si>
  <si>
    <t>DIMENSI PENGUKURAN</t>
  </si>
  <si>
    <t xml:space="preserve">Bobot Indikator </t>
  </si>
  <si>
    <t>Dimesi</t>
  </si>
  <si>
    <t>Pentunjuk</t>
  </si>
  <si>
    <t>Skala</t>
  </si>
  <si>
    <t>:</t>
  </si>
  <si>
    <t>Data Responden</t>
  </si>
  <si>
    <t>Jenis Usaha</t>
  </si>
  <si>
    <t>Jumlah Karyawan</t>
  </si>
  <si>
    <t>Total aset</t>
  </si>
  <si>
    <t>Rata-omzet</t>
  </si>
  <si>
    <t>Nama Usaha</t>
  </si>
  <si>
    <t>Alamat</t>
  </si>
  <si>
    <t>&lt;pilihan&gt;</t>
  </si>
  <si>
    <t>&lt;free text&gt;</t>
  </si>
  <si>
    <t>&lt;number&gt;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</si>
</sst>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.000_);_(* \(#,##0.000\);_(* &quot;-&quot;??_);_(@_)"/>
    <numFmt numFmtId="165" formatCode="_(* #,##0_);_(* \(#,##0\);_(* &quot;-&quot;??_);_(@_)"/>
  </numFmts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Calibri"/>
      <family val="2"/>
    </font>
    <font>
      <b/>
      <sz val="10"/>
      <color rgb="FFFFFFFF"/>
      <name val="Calibri"/>
      <family val="2"/>
    </font>
    <font>
      <sz val="10"/>
      <color theme="1"/>
      <name val="Calibri"/>
      <family val="2"/>
    </font>
    <font>
      <b/>
      <sz val="10"/>
      <color rgb="FF1F4E79"/>
      <name val="Calibri"/>
      <family val="2"/>
    </font>
    <font>
      <b/>
      <sz val="10"/>
      <color rgb="FFC45911"/>
      <name val="Calibri"/>
      <family val="2"/>
    </font>
    <font>
      <b/>
      <sz val="10"/>
      <color rgb="FF2E75B6"/>
      <name val="Calibri"/>
      <family val="2"/>
    </font>
    <font>
      <b/>
      <sz val="10"/>
      <color rgb="FF5B9BD5"/>
      <name val="Calibri"/>
      <family val="2"/>
    </font>
    <font>
      <b/>
      <sz val="10"/>
      <color rgb="FF7030A0"/>
      <name val="Calibri"/>
      <family val="2"/>
    </font>
    <font>
      <b/>
      <sz val="10"/>
      <color theme="0"/>
      <name val="Calibri"/>
      <family val="2"/>
    </font>
    <font>
      <b/>
      <sz val="14"/>
      <name val="Calibri"/>
      <family val="2"/>
    </font>
    <font>
      <sz val="12"/>
      <color theme="0"/>
      <name val="Calibri"/>
      <family val="2"/>
    </font>
    <font>
      <b/>
      <sz val="9"/>
      <color rgb="FFFFFFFF"/>
      <name val="Calibri"/>
      <family val="2"/>
    </font>
    <font>
      <b/>
      <sz val="9"/>
      <color rgb="FFC00000"/>
      <name val="Calibri"/>
      <family val="2"/>
    </font>
    <font>
      <sz val="9"/>
      <color theme="1"/>
      <name val="Calibri"/>
      <family val="2"/>
    </font>
    <font>
      <b/>
      <sz val="9"/>
      <color rgb="FFED7D31"/>
      <name val="Calibri"/>
      <family val="2"/>
    </font>
    <font>
      <b/>
      <sz val="9"/>
      <color rgb="FFFFC000"/>
      <name val="Calibri"/>
      <family val="2"/>
    </font>
    <font>
      <b/>
      <sz val="9"/>
      <color rgb="FF92D050"/>
      <name val="Calibri"/>
      <family val="2"/>
    </font>
    <font>
      <b/>
      <sz val="9"/>
      <color rgb="FF00B05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E8F4FD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9.9978637043366805E-2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9">
    <xf numFmtId="0" fontId="0" fillId="0" borderId="0" xfId="0"/>
    <xf numFmtId="0" fontId="6" fillId="2" borderId="1" xfId="0" applyFont="1" applyFill="1" applyBorder="1" applyAlignment="1">
      <alignment horizontal="left" vertical="center" wrapText="1" indent="1"/>
    </xf>
    <xf numFmtId="0" fontId="6" fillId="2" borderId="2" xfId="0" applyFont="1" applyFill="1" applyBorder="1" applyAlignment="1">
      <alignment horizontal="left" vertical="center" wrapText="1" indent="1"/>
    </xf>
    <xf numFmtId="0" fontId="7" fillId="0" borderId="3" xfId="0" applyFont="1" applyBorder="1" applyAlignment="1">
      <alignment horizontal="left" vertical="center" wrapText="1" indent="1"/>
    </xf>
    <xf numFmtId="9" fontId="9" fillId="0" borderId="4" xfId="0" applyNumberFormat="1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5" fillId="0" borderId="0" xfId="0" applyFont="1"/>
    <xf numFmtId="0" fontId="5" fillId="2" borderId="3" xfId="0" applyFont="1" applyFill="1" applyBorder="1" applyAlignment="1">
      <alignment horizontal="left" vertical="center" wrapText="1" indent="1"/>
    </xf>
    <xf numFmtId="9" fontId="6" fillId="2" borderId="4" xfId="0" applyNumberFormat="1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9" fontId="9" fillId="0" borderId="4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11" fillId="3" borderId="4" xfId="0" applyFont="1" applyFill="1" applyBorder="1" applyAlignment="1">
      <alignment horizontal="left" vertical="center"/>
    </xf>
    <xf numFmtId="0" fontId="12" fillId="3" borderId="4" xfId="0" applyFont="1" applyFill="1" applyBorder="1" applyAlignment="1">
      <alignment horizontal="left" vertical="center"/>
    </xf>
    <xf numFmtId="0" fontId="9" fillId="3" borderId="4" xfId="0" applyFont="1" applyFill="1" applyBorder="1" applyAlignment="1">
      <alignment horizontal="left" vertical="center"/>
    </xf>
    <xf numFmtId="0" fontId="8" fillId="3" borderId="4" xfId="0" applyFont="1" applyFill="1" applyBorder="1" applyAlignment="1">
      <alignment vertical="center"/>
    </xf>
    <xf numFmtId="0" fontId="7" fillId="0" borderId="4" xfId="0" applyFont="1" applyBorder="1" applyAlignment="1">
      <alignment vertical="center"/>
    </xf>
    <xf numFmtId="0" fontId="0" fillId="0" borderId="0" xfId="0" applyAlignment="1">
      <alignment horizontal="center"/>
    </xf>
    <xf numFmtId="0" fontId="3" fillId="0" borderId="0" xfId="0" applyFont="1"/>
    <xf numFmtId="0" fontId="7" fillId="0" borderId="7" xfId="0" applyFont="1" applyBorder="1" applyAlignment="1">
      <alignment horizontal="left" vertical="center" wrapText="1" indent="1"/>
    </xf>
    <xf numFmtId="0" fontId="14" fillId="0" borderId="0" xfId="0" applyFont="1"/>
    <xf numFmtId="0" fontId="7" fillId="5" borderId="7" xfId="0" applyFont="1" applyFill="1" applyBorder="1" applyAlignment="1">
      <alignment horizontal="left" vertical="center" indent="1"/>
    </xf>
    <xf numFmtId="0" fontId="7" fillId="6" borderId="7" xfId="0" applyFont="1" applyFill="1" applyBorder="1" applyAlignment="1">
      <alignment horizontal="left" vertical="center" wrapText="1" indent="1"/>
    </xf>
    <xf numFmtId="0" fontId="7" fillId="7" borderId="7" xfId="0" applyFont="1" applyFill="1" applyBorder="1" applyAlignment="1">
      <alignment horizontal="left" vertical="center" wrapText="1" indent="1"/>
    </xf>
    <xf numFmtId="0" fontId="7" fillId="8" borderId="7" xfId="0" applyFont="1" applyFill="1" applyBorder="1" applyAlignment="1">
      <alignment horizontal="left" vertical="center" wrapText="1" indent="1"/>
    </xf>
    <xf numFmtId="0" fontId="0" fillId="0" borderId="0" xfId="0" applyAlignment="1">
      <alignment horizontal="center" vertical="center"/>
    </xf>
    <xf numFmtId="0" fontId="0" fillId="0" borderId="7" xfId="0" applyBorder="1"/>
    <xf numFmtId="0" fontId="6" fillId="2" borderId="6" xfId="0" applyFont="1" applyFill="1" applyBorder="1" applyAlignment="1">
      <alignment horizontal="left" vertical="center" wrapText="1" indent="1"/>
    </xf>
    <xf numFmtId="0" fontId="6" fillId="4" borderId="8" xfId="0" applyFont="1" applyFill="1" applyBorder="1" applyAlignment="1">
      <alignment horizontal="center" vertical="center" wrapText="1"/>
    </xf>
    <xf numFmtId="0" fontId="3" fillId="0" borderId="7" xfId="0" applyFont="1" applyBorder="1"/>
    <xf numFmtId="0" fontId="0" fillId="7" borderId="7" xfId="0" applyFill="1" applyBorder="1"/>
    <xf numFmtId="0" fontId="0" fillId="8" borderId="7" xfId="0" applyFill="1" applyBorder="1"/>
    <xf numFmtId="0" fontId="7" fillId="9" borderId="7" xfId="0" applyFont="1" applyFill="1" applyBorder="1" applyAlignment="1">
      <alignment horizontal="left" vertical="center" wrapText="1" indent="1"/>
    </xf>
    <xf numFmtId="0" fontId="0" fillId="9" borderId="7" xfId="0" applyFill="1" applyBorder="1"/>
    <xf numFmtId="164" fontId="0" fillId="0" borderId="0" xfId="1" applyNumberFormat="1" applyFont="1"/>
    <xf numFmtId="0" fontId="13" fillId="10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 wrapText="1"/>
    </xf>
    <xf numFmtId="0" fontId="13" fillId="10" borderId="7" xfId="0" applyFont="1" applyFill="1" applyBorder="1" applyAlignment="1">
      <alignment horizontal="left" vertical="center" wrapText="1" indent="1"/>
    </xf>
    <xf numFmtId="0" fontId="2" fillId="10" borderId="7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vertical="center"/>
    </xf>
    <xf numFmtId="0" fontId="7" fillId="0" borderId="7" xfId="0" applyFont="1" applyBorder="1" applyAlignment="1">
      <alignment vertical="center"/>
    </xf>
    <xf numFmtId="9" fontId="9" fillId="0" borderId="7" xfId="0" applyNumberFormat="1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10" fillId="3" borderId="7" xfId="0" applyFont="1" applyFill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9" fontId="9" fillId="0" borderId="7" xfId="0" applyNumberFormat="1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11" fillId="3" borderId="7" xfId="0" applyFont="1" applyFill="1" applyBorder="1" applyAlignment="1">
      <alignment horizontal="left" vertical="center"/>
    </xf>
    <xf numFmtId="0" fontId="12" fillId="3" borderId="7" xfId="0" applyFont="1" applyFill="1" applyBorder="1" applyAlignment="1">
      <alignment horizontal="left" vertical="center"/>
    </xf>
    <xf numFmtId="0" fontId="9" fillId="3" borderId="7" xfId="0" applyFont="1" applyFill="1" applyBorder="1" applyAlignment="1">
      <alignment horizontal="left" vertical="center"/>
    </xf>
    <xf numFmtId="0" fontId="15" fillId="10" borderId="7" xfId="0" applyFont="1" applyFill="1" applyBorder="1" applyAlignment="1">
      <alignment horizontal="left" vertical="center" wrapText="1" indent="1"/>
    </xf>
    <xf numFmtId="0" fontId="13" fillId="10" borderId="7" xfId="0" applyFont="1" applyFill="1" applyBorder="1" applyAlignment="1">
      <alignment vertical="center"/>
    </xf>
    <xf numFmtId="9" fontId="13" fillId="10" borderId="7" xfId="0" applyNumberFormat="1" applyFont="1" applyFill="1" applyBorder="1" applyAlignment="1">
      <alignment horizontal="center" vertical="center" wrapText="1"/>
    </xf>
    <xf numFmtId="0" fontId="13" fillId="10" borderId="7" xfId="0" applyFont="1" applyFill="1" applyBorder="1" applyAlignment="1">
      <alignment horizontal="center" vertical="center" wrapText="1"/>
    </xf>
    <xf numFmtId="0" fontId="4" fillId="10" borderId="7" xfId="0" applyFont="1" applyFill="1" applyBorder="1"/>
    <xf numFmtId="0" fontId="0" fillId="6" borderId="7" xfId="0" applyFill="1" applyBorder="1"/>
    <xf numFmtId="2" fontId="0" fillId="6" borderId="7" xfId="0" applyNumberFormat="1" applyFill="1" applyBorder="1" applyAlignment="1">
      <alignment horizontal="center"/>
    </xf>
    <xf numFmtId="0" fontId="0" fillId="5" borderId="7" xfId="0" applyFill="1" applyBorder="1"/>
    <xf numFmtId="2" fontId="0" fillId="5" borderId="7" xfId="0" applyNumberFormat="1" applyFill="1" applyBorder="1" applyAlignment="1">
      <alignment horizontal="center"/>
    </xf>
    <xf numFmtId="0" fontId="2" fillId="4" borderId="9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2" fontId="0" fillId="7" borderId="7" xfId="0" applyNumberFormat="1" applyFill="1" applyBorder="1" applyAlignment="1">
      <alignment horizontal="center"/>
    </xf>
    <xf numFmtId="2" fontId="0" fillId="8" borderId="7" xfId="0" applyNumberFormat="1" applyFill="1" applyBorder="1" applyAlignment="1">
      <alignment horizontal="center"/>
    </xf>
    <xf numFmtId="2" fontId="0" fillId="9" borderId="7" xfId="0" applyNumberFormat="1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0" fillId="7" borderId="7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0" fillId="0" borderId="7" xfId="0" applyBorder="1" applyAlignment="1">
      <alignment horizontal="center"/>
    </xf>
    <xf numFmtId="164" fontId="0" fillId="0" borderId="7" xfId="1" applyNumberFormat="1" applyFont="1" applyBorder="1" applyAlignment="1">
      <alignment horizontal="center"/>
    </xf>
    <xf numFmtId="0" fontId="16" fillId="2" borderId="1" xfId="0" applyFont="1" applyFill="1" applyBorder="1" applyAlignment="1">
      <alignment vertical="center" wrapText="1"/>
    </xf>
    <xf numFmtId="0" fontId="16" fillId="2" borderId="2" xfId="0" applyFont="1" applyFill="1" applyBorder="1" applyAlignment="1">
      <alignment vertical="center" wrapText="1"/>
    </xf>
    <xf numFmtId="0" fontId="17" fillId="0" borderId="3" xfId="0" applyFont="1" applyBorder="1" applyAlignment="1">
      <alignment horizontal="center" vertical="center"/>
    </xf>
    <xf numFmtId="0" fontId="18" fillId="0" borderId="4" xfId="0" applyFont="1" applyBorder="1" applyAlignment="1">
      <alignment vertical="center"/>
    </xf>
    <xf numFmtId="0" fontId="19" fillId="0" borderId="3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165" fontId="0" fillId="0" borderId="7" xfId="1" applyNumberFormat="1" applyFont="1" applyBorder="1" applyAlignment="1">
      <alignment horizontal="center" vertical="center"/>
    </xf>
    <xf numFmtId="0" fontId="4" fillId="10" borderId="7" xfId="0" applyFont="1" applyFill="1" applyBorder="1" applyAlignment="1">
      <alignment horizontal="center"/>
    </xf>
    <xf numFmtId="2" fontId="0" fillId="8" borderId="7" xfId="0" applyNumberFormat="1" applyFill="1" applyBorder="1" applyAlignment="1">
      <alignment horizontal="center"/>
    </xf>
    <xf numFmtId="2" fontId="0" fillId="9" borderId="7" xfId="0" applyNumberFormat="1" applyFill="1" applyBorder="1" applyAlignment="1">
      <alignment horizontal="center"/>
    </xf>
    <xf numFmtId="2" fontId="0" fillId="6" borderId="7" xfId="0" applyNumberFormat="1" applyFill="1" applyBorder="1" applyAlignment="1">
      <alignment horizontal="center"/>
    </xf>
    <xf numFmtId="2" fontId="0" fillId="7" borderId="7" xfId="0" applyNumberFormat="1" applyFill="1" applyBorder="1" applyAlignment="1">
      <alignment horizontal="center"/>
    </xf>
    <xf numFmtId="43" fontId="0" fillId="5" borderId="7" xfId="1" applyFont="1" applyFill="1" applyBorder="1" applyAlignment="1">
      <alignment horizontal="center" vertical="center"/>
    </xf>
    <xf numFmtId="43" fontId="0" fillId="6" borderId="7" xfId="1" applyFont="1" applyFill="1" applyBorder="1" applyAlignment="1">
      <alignment horizontal="center" vertical="center"/>
    </xf>
    <xf numFmtId="43" fontId="0" fillId="7" borderId="7" xfId="1" applyFont="1" applyFill="1" applyBorder="1" applyAlignment="1">
      <alignment horizontal="center" vertical="center"/>
    </xf>
    <xf numFmtId="43" fontId="0" fillId="8" borderId="7" xfId="1" applyFont="1" applyFill="1" applyBorder="1" applyAlignment="1">
      <alignment horizontal="center" vertical="center"/>
    </xf>
    <xf numFmtId="43" fontId="0" fillId="9" borderId="7" xfId="1" applyFont="1" applyFill="1" applyBorder="1" applyAlignment="1">
      <alignment horizontal="center" vertical="center"/>
    </xf>
    <xf numFmtId="2" fontId="10" fillId="5" borderId="7" xfId="0" applyNumberFormat="1" applyFont="1" applyFill="1" applyBorder="1" applyAlignment="1">
      <alignment horizontal="center" vertical="center"/>
    </xf>
    <xf numFmtId="2" fontId="9" fillId="5" borderId="7" xfId="0" applyNumberFormat="1" applyFont="1" applyFill="1" applyBorder="1" applyAlignment="1">
      <alignment horizontal="center" vertical="center"/>
    </xf>
    <xf numFmtId="2" fontId="0" fillId="5" borderId="7" xfId="0" applyNumberFormat="1" applyFill="1" applyBorder="1" applyAlignment="1">
      <alignment horizontal="center"/>
    </xf>
    <xf numFmtId="0" fontId="9" fillId="9" borderId="7" xfId="0" applyFont="1" applyFill="1" applyBorder="1" applyAlignment="1">
      <alignment horizontal="left" vertical="center" wrapText="1" indent="1"/>
    </xf>
    <xf numFmtId="0" fontId="3" fillId="5" borderId="7" xfId="0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0" fontId="3" fillId="7" borderId="7" xfId="0" applyFont="1" applyFill="1" applyBorder="1" applyAlignment="1">
      <alignment horizontal="center" vertical="center"/>
    </xf>
    <xf numFmtId="0" fontId="3" fillId="8" borderId="7" xfId="0" applyFont="1" applyFill="1" applyBorder="1" applyAlignment="1">
      <alignment horizontal="center" vertical="center"/>
    </xf>
    <xf numFmtId="0" fontId="3" fillId="9" borderId="7" xfId="0" applyFont="1" applyFill="1" applyBorder="1" applyAlignment="1">
      <alignment horizontal="center" vertical="center"/>
    </xf>
    <xf numFmtId="0" fontId="11" fillId="7" borderId="7" xfId="0" applyFont="1" applyFill="1" applyBorder="1" applyAlignment="1">
      <alignment horizontal="left" vertical="center" wrapText="1" indent="1"/>
    </xf>
    <xf numFmtId="0" fontId="12" fillId="8" borderId="7" xfId="0" applyFont="1" applyFill="1" applyBorder="1" applyAlignment="1">
      <alignment horizontal="left" vertical="center" wrapText="1" indent="1"/>
    </xf>
    <xf numFmtId="0" fontId="8" fillId="5" borderId="7" xfId="0" applyFont="1" applyFill="1" applyBorder="1" applyAlignment="1">
      <alignment horizontal="left" vertical="center" indent="1"/>
    </xf>
    <xf numFmtId="0" fontId="10" fillId="6" borderId="7" xfId="0" applyFont="1" applyFill="1" applyBorder="1" applyAlignment="1">
      <alignment horizontal="left" vertical="center" wrapText="1" indent="1"/>
    </xf>
    <xf numFmtId="0" fontId="6" fillId="2" borderId="5" xfId="0" applyFont="1" applyFill="1" applyBorder="1" applyAlignment="1">
      <alignment horizontal="left" vertical="center" wrapText="1" indent="1"/>
    </xf>
    <xf numFmtId="0" fontId="6" fillId="2" borderId="2" xfId="0" applyFont="1" applyFill="1" applyBorder="1" applyAlignment="1">
      <alignment horizontal="left" vertical="center" wrapText="1" indent="1"/>
    </xf>
    <xf numFmtId="17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D3453-677A-4875-9984-48ACC7F7BA16}">
  <dimension ref="B2:G10"/>
  <sheetViews>
    <sheetView workbookViewId="0">
      <selection activeCell="B4" sqref="B4:G10"/>
    </sheetView>
  </sheetViews>
  <sheetFormatPr defaultRowHeight="14.4" x14ac:dyDescent="0.3"/>
  <cols>
    <col min="3" max="3" width="19.88671875" bestFit="1" customWidth="1"/>
    <col min="4" max="4" width="62.77734375" bestFit="1" customWidth="1"/>
  </cols>
  <sheetData>
    <row r="2" spans="2:7" ht="15.6" x14ac:dyDescent="0.3">
      <c r="B2" s="6" t="s">
        <v>16</v>
      </c>
    </row>
    <row r="3" spans="2:7" ht="15" thickBot="1" x14ac:dyDescent="0.35"/>
    <row r="4" spans="2:7" ht="42" thickBot="1" x14ac:dyDescent="0.35">
      <c r="B4" s="1" t="s">
        <v>0</v>
      </c>
      <c r="C4" s="2" t="s">
        <v>1</v>
      </c>
      <c r="D4" s="2" t="s">
        <v>2</v>
      </c>
      <c r="E4" s="2" t="s">
        <v>3</v>
      </c>
      <c r="F4" s="2" t="s">
        <v>4</v>
      </c>
      <c r="G4" s="29" t="s">
        <v>99</v>
      </c>
    </row>
    <row r="5" spans="2:7" ht="15" thickBot="1" x14ac:dyDescent="0.35">
      <c r="B5" s="3">
        <v>1</v>
      </c>
      <c r="C5" s="17" t="s">
        <v>5</v>
      </c>
      <c r="D5" s="18" t="s">
        <v>6</v>
      </c>
      <c r="E5" s="4">
        <v>0.25</v>
      </c>
      <c r="F5" s="5">
        <v>8</v>
      </c>
      <c r="G5" s="36">
        <f>E5/F5</f>
        <v>3.125E-2</v>
      </c>
    </row>
    <row r="6" spans="2:7" ht="15" thickBot="1" x14ac:dyDescent="0.35">
      <c r="B6" s="3">
        <v>2</v>
      </c>
      <c r="C6" s="10" t="s">
        <v>7</v>
      </c>
      <c r="D6" s="11" t="s">
        <v>8</v>
      </c>
      <c r="E6" s="12">
        <v>0.2</v>
      </c>
      <c r="F6" s="13">
        <v>6</v>
      </c>
      <c r="G6" s="36">
        <f t="shared" ref="G6:G9" si="0">E6/F6</f>
        <v>3.3333333333333333E-2</v>
      </c>
    </row>
    <row r="7" spans="2:7" ht="15" thickBot="1" x14ac:dyDescent="0.35">
      <c r="B7" s="3">
        <v>3</v>
      </c>
      <c r="C7" s="14" t="s">
        <v>9</v>
      </c>
      <c r="D7" s="11" t="s">
        <v>10</v>
      </c>
      <c r="E7" s="12">
        <v>0.2</v>
      </c>
      <c r="F7" s="13">
        <v>6</v>
      </c>
      <c r="G7" s="36">
        <f t="shared" si="0"/>
        <v>3.3333333333333333E-2</v>
      </c>
    </row>
    <row r="8" spans="2:7" ht="15" thickBot="1" x14ac:dyDescent="0.35">
      <c r="B8" s="3">
        <v>4</v>
      </c>
      <c r="C8" s="15" t="s">
        <v>11</v>
      </c>
      <c r="D8" s="11" t="s">
        <v>12</v>
      </c>
      <c r="E8" s="12">
        <v>0.2</v>
      </c>
      <c r="F8" s="13">
        <v>6</v>
      </c>
      <c r="G8" s="36">
        <f t="shared" si="0"/>
        <v>3.3333333333333333E-2</v>
      </c>
    </row>
    <row r="9" spans="2:7" ht="15" thickBot="1" x14ac:dyDescent="0.35">
      <c r="B9" s="3">
        <v>5</v>
      </c>
      <c r="C9" s="16" t="s">
        <v>13</v>
      </c>
      <c r="D9" s="11" t="s">
        <v>14</v>
      </c>
      <c r="E9" s="12">
        <v>0.15</v>
      </c>
      <c r="F9" s="13">
        <v>4</v>
      </c>
      <c r="G9" s="36">
        <f t="shared" si="0"/>
        <v>3.7499999999999999E-2</v>
      </c>
    </row>
    <row r="10" spans="2:7" ht="16.2" thickBot="1" x14ac:dyDescent="0.35">
      <c r="B10" s="7"/>
      <c r="C10" s="106" t="s">
        <v>15</v>
      </c>
      <c r="D10" s="107"/>
      <c r="E10" s="8">
        <v>1</v>
      </c>
      <c r="F10" s="9">
        <v>30</v>
      </c>
      <c r="G10" s="9">
        <v>30</v>
      </c>
    </row>
  </sheetData>
  <mergeCells count="1">
    <mergeCell ref="C10:D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CD4CA-B4C9-4EE7-B56F-7E2B2CF4863D}">
  <dimension ref="B1:O51"/>
  <sheetViews>
    <sheetView tabSelected="1" topLeftCell="C3" zoomScale="85" zoomScaleNormal="85" workbookViewId="0">
      <selection activeCell="M37" sqref="M37"/>
    </sheetView>
  </sheetViews>
  <sheetFormatPr defaultRowHeight="14.4" x14ac:dyDescent="0.3"/>
  <cols>
    <col min="2" max="2" width="23.33203125" style="20" bestFit="1" customWidth="1"/>
    <col min="3" max="3" width="22.109375" bestFit="1" customWidth="1"/>
    <col min="4" max="4" width="30.21875" bestFit="1" customWidth="1"/>
    <col min="5" max="5" width="63.88671875" bestFit="1" customWidth="1"/>
    <col min="6" max="6" width="7.88671875" style="27" customWidth="1"/>
    <col min="7" max="7" width="12" customWidth="1"/>
    <col min="8" max="8" width="9.33203125" style="19" customWidth="1"/>
    <col min="9" max="9" width="9.77734375" bestFit="1" customWidth="1"/>
    <col min="10" max="10" width="11.44140625" style="19" customWidth="1"/>
    <col min="13" max="13" width="14.88671875" bestFit="1" customWidth="1"/>
    <col min="14" max="14" width="2.33203125" customWidth="1"/>
    <col min="15" max="15" width="47" bestFit="1" customWidth="1"/>
  </cols>
  <sheetData>
    <row r="1" spans="2:15" ht="18" x14ac:dyDescent="0.35">
      <c r="B1" s="22" t="s">
        <v>98</v>
      </c>
    </row>
    <row r="3" spans="2:15" s="27" customFormat="1" ht="28.8" x14ac:dyDescent="0.3">
      <c r="B3" s="62" t="s">
        <v>1</v>
      </c>
      <c r="C3" s="63" t="s">
        <v>17</v>
      </c>
      <c r="D3" s="63" t="s">
        <v>4</v>
      </c>
      <c r="E3" s="63" t="s">
        <v>18</v>
      </c>
      <c r="F3" s="30" t="s">
        <v>101</v>
      </c>
      <c r="G3" s="30" t="s">
        <v>102</v>
      </c>
      <c r="H3" s="37" t="s">
        <v>114</v>
      </c>
      <c r="I3" s="38" t="s">
        <v>100</v>
      </c>
      <c r="J3" s="39" t="s">
        <v>103</v>
      </c>
    </row>
    <row r="4" spans="2:15" x14ac:dyDescent="0.3">
      <c r="B4" s="97" t="s">
        <v>93</v>
      </c>
      <c r="C4" s="104" t="s">
        <v>19</v>
      </c>
      <c r="D4" s="23" t="s">
        <v>20</v>
      </c>
      <c r="E4" s="23" t="s">
        <v>21</v>
      </c>
      <c r="F4" s="88">
        <v>0.25</v>
      </c>
      <c r="G4" s="93">
        <f>SUM(H4:H6)</f>
        <v>0.1</v>
      </c>
      <c r="H4" s="67">
        <v>0.04</v>
      </c>
      <c r="I4" s="60">
        <v>1</v>
      </c>
      <c r="J4" s="61">
        <f>H4*I4</f>
        <v>0.04</v>
      </c>
    </row>
    <row r="5" spans="2:15" x14ac:dyDescent="0.3">
      <c r="B5" s="97"/>
      <c r="C5" s="104"/>
      <c r="D5" s="23" t="s">
        <v>22</v>
      </c>
      <c r="E5" s="23" t="s">
        <v>23</v>
      </c>
      <c r="F5" s="88"/>
      <c r="G5" s="93"/>
      <c r="H5" s="67">
        <v>0.03</v>
      </c>
      <c r="I5" s="60">
        <v>5</v>
      </c>
      <c r="J5" s="61">
        <f t="shared" ref="J5:J33" si="0">H5*I5</f>
        <v>0.15</v>
      </c>
    </row>
    <row r="6" spans="2:15" x14ac:dyDescent="0.3">
      <c r="B6" s="97"/>
      <c r="C6" s="104"/>
      <c r="D6" s="23" t="s">
        <v>24</v>
      </c>
      <c r="E6" s="23" t="s">
        <v>25</v>
      </c>
      <c r="F6" s="88"/>
      <c r="G6" s="93"/>
      <c r="H6" s="67">
        <v>0.03</v>
      </c>
      <c r="I6" s="60">
        <v>5</v>
      </c>
      <c r="J6" s="61">
        <f t="shared" si="0"/>
        <v>0.15</v>
      </c>
    </row>
    <row r="7" spans="2:15" x14ac:dyDescent="0.3">
      <c r="B7" s="97"/>
      <c r="C7" s="104" t="s">
        <v>26</v>
      </c>
      <c r="D7" s="23" t="s">
        <v>27</v>
      </c>
      <c r="E7" s="23" t="s">
        <v>28</v>
      </c>
      <c r="F7" s="88"/>
      <c r="G7" s="94">
        <f>SUM(H7:H9)</f>
        <v>0.11</v>
      </c>
      <c r="H7" s="67">
        <v>0.04</v>
      </c>
      <c r="I7" s="60">
        <v>5</v>
      </c>
      <c r="J7" s="61">
        <f t="shared" si="0"/>
        <v>0.2</v>
      </c>
    </row>
    <row r="8" spans="2:15" x14ac:dyDescent="0.3">
      <c r="B8" s="97"/>
      <c r="C8" s="104"/>
      <c r="D8" s="23" t="s">
        <v>29</v>
      </c>
      <c r="E8" s="23" t="s">
        <v>30</v>
      </c>
      <c r="F8" s="88"/>
      <c r="G8" s="94"/>
      <c r="H8" s="67">
        <v>0.04</v>
      </c>
      <c r="I8" s="60">
        <v>5</v>
      </c>
      <c r="J8" s="61">
        <f t="shared" si="0"/>
        <v>0.2</v>
      </c>
    </row>
    <row r="9" spans="2:15" x14ac:dyDescent="0.3">
      <c r="B9" s="97"/>
      <c r="C9" s="104"/>
      <c r="D9" s="23" t="s">
        <v>31</v>
      </c>
      <c r="E9" s="23" t="s">
        <v>32</v>
      </c>
      <c r="F9" s="88"/>
      <c r="G9" s="94"/>
      <c r="H9" s="67">
        <v>0.03</v>
      </c>
      <c r="I9" s="60">
        <v>5</v>
      </c>
      <c r="J9" s="61">
        <f t="shared" si="0"/>
        <v>0.15</v>
      </c>
    </row>
    <row r="10" spans="2:15" x14ac:dyDescent="0.3">
      <c r="B10" s="97"/>
      <c r="C10" s="104" t="s">
        <v>33</v>
      </c>
      <c r="D10" s="23" t="s">
        <v>34</v>
      </c>
      <c r="E10" s="23" t="s">
        <v>35</v>
      </c>
      <c r="F10" s="88"/>
      <c r="G10" s="95">
        <f>SUM(H10:H11)</f>
        <v>0.04</v>
      </c>
      <c r="H10" s="67">
        <v>0.02</v>
      </c>
      <c r="I10" s="60">
        <v>5</v>
      </c>
      <c r="J10" s="61">
        <f t="shared" si="0"/>
        <v>0.1</v>
      </c>
    </row>
    <row r="11" spans="2:15" x14ac:dyDescent="0.3">
      <c r="B11" s="97"/>
      <c r="C11" s="104"/>
      <c r="D11" s="23" t="s">
        <v>36</v>
      </c>
      <c r="E11" s="23" t="s">
        <v>37</v>
      </c>
      <c r="F11" s="88"/>
      <c r="G11" s="95"/>
      <c r="H11" s="67">
        <v>0.02</v>
      </c>
      <c r="I11" s="60">
        <v>5</v>
      </c>
      <c r="J11" s="61">
        <f t="shared" si="0"/>
        <v>0.1</v>
      </c>
    </row>
    <row r="12" spans="2:15" x14ac:dyDescent="0.3">
      <c r="B12" s="98" t="s">
        <v>94</v>
      </c>
      <c r="C12" s="105" t="s">
        <v>38</v>
      </c>
      <c r="D12" s="24" t="s">
        <v>39</v>
      </c>
      <c r="E12" s="24" t="s">
        <v>40</v>
      </c>
      <c r="F12" s="89">
        <v>0.2</v>
      </c>
      <c r="G12" s="86">
        <f>SUM(H12:H13)</f>
        <v>7.0000000000000007E-2</v>
      </c>
      <c r="H12" s="68">
        <v>0.04</v>
      </c>
      <c r="I12" s="58">
        <v>5</v>
      </c>
      <c r="J12" s="59">
        <f t="shared" si="0"/>
        <v>0.2</v>
      </c>
    </row>
    <row r="13" spans="2:15" ht="27.6" x14ac:dyDescent="0.3">
      <c r="B13" s="98"/>
      <c r="C13" s="105"/>
      <c r="D13" s="24" t="s">
        <v>41</v>
      </c>
      <c r="E13" s="24" t="s">
        <v>42</v>
      </c>
      <c r="F13" s="89"/>
      <c r="G13" s="86"/>
      <c r="H13" s="68">
        <v>0.03</v>
      </c>
      <c r="I13" s="58">
        <v>5</v>
      </c>
      <c r="J13" s="59">
        <f t="shared" si="0"/>
        <v>0.15</v>
      </c>
    </row>
    <row r="14" spans="2:15" x14ac:dyDescent="0.3">
      <c r="B14" s="98"/>
      <c r="C14" s="105" t="s">
        <v>43</v>
      </c>
      <c r="D14" s="24" t="s">
        <v>44</v>
      </c>
      <c r="E14" s="24" t="s">
        <v>45</v>
      </c>
      <c r="F14" s="89"/>
      <c r="G14" s="86">
        <f>SUM(H14:H15)</f>
        <v>7.0000000000000007E-2</v>
      </c>
      <c r="H14" s="68">
        <v>0.03</v>
      </c>
      <c r="I14" s="58">
        <v>5</v>
      </c>
      <c r="J14" s="59">
        <f t="shared" si="0"/>
        <v>0.15</v>
      </c>
      <c r="M14" t="s">
        <v>115</v>
      </c>
      <c r="N14" t="s">
        <v>118</v>
      </c>
      <c r="O14" t="str">
        <f>B4</f>
        <v>KEPATUHAN SYARIAH</v>
      </c>
    </row>
    <row r="15" spans="2:15" ht="27.6" x14ac:dyDescent="0.3">
      <c r="B15" s="98"/>
      <c r="C15" s="105"/>
      <c r="D15" s="24" t="s">
        <v>46</v>
      </c>
      <c r="E15" s="24" t="s">
        <v>47</v>
      </c>
      <c r="F15" s="89"/>
      <c r="G15" s="86"/>
      <c r="H15" s="68">
        <v>0.04</v>
      </c>
      <c r="I15" s="58">
        <v>5</v>
      </c>
      <c r="J15" s="59">
        <f t="shared" si="0"/>
        <v>0.2</v>
      </c>
      <c r="M15" t="s">
        <v>17</v>
      </c>
      <c r="N15" t="s">
        <v>118</v>
      </c>
      <c r="O15" t="str">
        <f>C4</f>
        <v>1.1 Sertifikasi Halal</v>
      </c>
    </row>
    <row r="16" spans="2:15" x14ac:dyDescent="0.3">
      <c r="B16" s="98"/>
      <c r="C16" s="105" t="s">
        <v>48</v>
      </c>
      <c r="D16" s="24" t="s">
        <v>49</v>
      </c>
      <c r="E16" s="24" t="s">
        <v>50</v>
      </c>
      <c r="F16" s="89"/>
      <c r="G16" s="86">
        <f>SUM(H16:H17)</f>
        <v>0.06</v>
      </c>
      <c r="H16" s="68">
        <v>0.03</v>
      </c>
      <c r="I16" s="58">
        <v>5</v>
      </c>
      <c r="J16" s="59">
        <f t="shared" si="0"/>
        <v>0.15</v>
      </c>
      <c r="M16" t="s">
        <v>4</v>
      </c>
      <c r="N16" t="s">
        <v>118</v>
      </c>
      <c r="O16" t="str">
        <f>D4</f>
        <v>SC-01: Status Sertifikat Halal</v>
      </c>
    </row>
    <row r="17" spans="2:15" ht="27.6" x14ac:dyDescent="0.3">
      <c r="B17" s="98"/>
      <c r="C17" s="105"/>
      <c r="D17" s="24" t="s">
        <v>51</v>
      </c>
      <c r="E17" s="24" t="s">
        <v>52</v>
      </c>
      <c r="F17" s="89"/>
      <c r="G17" s="86"/>
      <c r="H17" s="68">
        <v>0.03</v>
      </c>
      <c r="I17" s="58">
        <v>5</v>
      </c>
      <c r="J17" s="59">
        <f t="shared" si="0"/>
        <v>0.15</v>
      </c>
      <c r="M17" t="s">
        <v>116</v>
      </c>
      <c r="N17" t="s">
        <v>118</v>
      </c>
      <c r="O17" t="str">
        <f>E4</f>
        <v>Kepemilikan sertifikat halal BPJPH yang masih berlaku</v>
      </c>
    </row>
    <row r="18" spans="2:15" x14ac:dyDescent="0.3">
      <c r="B18" s="99" t="s">
        <v>95</v>
      </c>
      <c r="C18" s="102" t="s">
        <v>53</v>
      </c>
      <c r="D18" s="25" t="s">
        <v>54</v>
      </c>
      <c r="E18" s="25" t="s">
        <v>55</v>
      </c>
      <c r="F18" s="90">
        <v>0.2</v>
      </c>
      <c r="G18" s="87">
        <f>SUM(H18:H19)</f>
        <v>7.0000000000000007E-2</v>
      </c>
      <c r="H18" s="69">
        <v>0.04</v>
      </c>
      <c r="I18" s="32">
        <v>5</v>
      </c>
      <c r="J18" s="64">
        <f t="shared" si="0"/>
        <v>0.2</v>
      </c>
      <c r="M18" t="s">
        <v>117</v>
      </c>
      <c r="N18" t="s">
        <v>118</v>
      </c>
    </row>
    <row r="19" spans="2:15" x14ac:dyDescent="0.3">
      <c r="B19" s="99"/>
      <c r="C19" s="102"/>
      <c r="D19" s="25" t="s">
        <v>56</v>
      </c>
      <c r="E19" s="25" t="s">
        <v>57</v>
      </c>
      <c r="F19" s="90"/>
      <c r="G19" s="87"/>
      <c r="H19" s="69">
        <v>0.03</v>
      </c>
      <c r="I19" s="32">
        <v>5</v>
      </c>
      <c r="J19" s="64">
        <f t="shared" si="0"/>
        <v>0.15</v>
      </c>
    </row>
    <row r="20" spans="2:15" x14ac:dyDescent="0.3">
      <c r="B20" s="99"/>
      <c r="C20" s="102" t="s">
        <v>58</v>
      </c>
      <c r="D20" s="25" t="s">
        <v>59</v>
      </c>
      <c r="E20" s="25" t="s">
        <v>60</v>
      </c>
      <c r="F20" s="90"/>
      <c r="G20" s="87">
        <f>SUM(H20:H21)</f>
        <v>0.06</v>
      </c>
      <c r="H20" s="69">
        <v>0.03</v>
      </c>
      <c r="I20" s="32">
        <v>5</v>
      </c>
      <c r="J20" s="64">
        <f t="shared" si="0"/>
        <v>0.15</v>
      </c>
      <c r="O20" s="108">
        <v>47484</v>
      </c>
    </row>
    <row r="21" spans="2:15" x14ac:dyDescent="0.3">
      <c r="B21" s="99"/>
      <c r="C21" s="102"/>
      <c r="D21" s="25" t="s">
        <v>61</v>
      </c>
      <c r="E21" s="25" t="s">
        <v>62</v>
      </c>
      <c r="F21" s="90"/>
      <c r="G21" s="87"/>
      <c r="H21" s="69">
        <v>0.03</v>
      </c>
      <c r="I21" s="32">
        <v>5</v>
      </c>
      <c r="J21" s="64">
        <f t="shared" si="0"/>
        <v>0.15</v>
      </c>
      <c r="M21" t="s">
        <v>119</v>
      </c>
    </row>
    <row r="22" spans="2:15" x14ac:dyDescent="0.3">
      <c r="B22" s="99"/>
      <c r="C22" s="102" t="s">
        <v>63</v>
      </c>
      <c r="D22" s="25" t="s">
        <v>64</v>
      </c>
      <c r="E22" s="25" t="s">
        <v>65</v>
      </c>
      <c r="F22" s="90"/>
      <c r="G22" s="87">
        <f>SUM(H22:H23)</f>
        <v>7.0000000000000007E-2</v>
      </c>
      <c r="H22" s="69">
        <v>0.03</v>
      </c>
      <c r="I22" s="32">
        <v>5</v>
      </c>
      <c r="J22" s="64">
        <f t="shared" si="0"/>
        <v>0.15</v>
      </c>
      <c r="M22" t="s">
        <v>124</v>
      </c>
      <c r="N22" t="s">
        <v>118</v>
      </c>
      <c r="O22" t="s">
        <v>127</v>
      </c>
    </row>
    <row r="23" spans="2:15" x14ac:dyDescent="0.3">
      <c r="B23" s="99"/>
      <c r="C23" s="102"/>
      <c r="D23" s="25" t="s">
        <v>66</v>
      </c>
      <c r="E23" s="25" t="s">
        <v>67</v>
      </c>
      <c r="F23" s="90"/>
      <c r="G23" s="87"/>
      <c r="H23" s="69">
        <v>0.04</v>
      </c>
      <c r="I23" s="32">
        <v>5</v>
      </c>
      <c r="J23" s="64">
        <f t="shared" si="0"/>
        <v>0.2</v>
      </c>
      <c r="M23" t="s">
        <v>120</v>
      </c>
      <c r="N23" t="s">
        <v>118</v>
      </c>
      <c r="O23" t="s">
        <v>127</v>
      </c>
    </row>
    <row r="24" spans="2:15" x14ac:dyDescent="0.3">
      <c r="B24" s="100" t="s">
        <v>96</v>
      </c>
      <c r="C24" s="103" t="s">
        <v>68</v>
      </c>
      <c r="D24" s="26" t="s">
        <v>69</v>
      </c>
      <c r="E24" s="26" t="s">
        <v>70</v>
      </c>
      <c r="F24" s="91">
        <v>0.2</v>
      </c>
      <c r="G24" s="84">
        <f>SUM(H24:H25)</f>
        <v>0.08</v>
      </c>
      <c r="H24" s="70">
        <v>0.04</v>
      </c>
      <c r="I24" s="33">
        <v>5</v>
      </c>
      <c r="J24" s="65">
        <f t="shared" si="0"/>
        <v>0.2</v>
      </c>
      <c r="M24" t="s">
        <v>121</v>
      </c>
      <c r="N24" t="s">
        <v>118</v>
      </c>
      <c r="O24" t="s">
        <v>128</v>
      </c>
    </row>
    <row r="25" spans="2:15" x14ac:dyDescent="0.3">
      <c r="B25" s="100"/>
      <c r="C25" s="103"/>
      <c r="D25" s="26" t="s">
        <v>71</v>
      </c>
      <c r="E25" s="26" t="s">
        <v>72</v>
      </c>
      <c r="F25" s="91"/>
      <c r="G25" s="84"/>
      <c r="H25" s="70">
        <v>0.04</v>
      </c>
      <c r="I25" s="33">
        <v>5</v>
      </c>
      <c r="J25" s="65">
        <f t="shared" si="0"/>
        <v>0.2</v>
      </c>
      <c r="M25" t="s">
        <v>122</v>
      </c>
      <c r="N25" t="s">
        <v>118</v>
      </c>
      <c r="O25" t="s">
        <v>128</v>
      </c>
    </row>
    <row r="26" spans="2:15" x14ac:dyDescent="0.3">
      <c r="B26" s="100"/>
      <c r="C26" s="103" t="s">
        <v>73</v>
      </c>
      <c r="D26" s="26" t="s">
        <v>74</v>
      </c>
      <c r="E26" s="26" t="s">
        <v>75</v>
      </c>
      <c r="F26" s="91"/>
      <c r="G26" s="84">
        <f>SUM(H26:H27)</f>
        <v>0.06</v>
      </c>
      <c r="H26" s="70">
        <v>0.03</v>
      </c>
      <c r="I26" s="33">
        <v>5</v>
      </c>
      <c r="J26" s="65">
        <f t="shared" si="0"/>
        <v>0.15</v>
      </c>
      <c r="M26" t="s">
        <v>123</v>
      </c>
      <c r="N26" t="s">
        <v>118</v>
      </c>
      <c r="O26" t="s">
        <v>128</v>
      </c>
    </row>
    <row r="27" spans="2:15" x14ac:dyDescent="0.3">
      <c r="B27" s="100"/>
      <c r="C27" s="103"/>
      <c r="D27" s="26" t="s">
        <v>76</v>
      </c>
      <c r="E27" s="26" t="s">
        <v>77</v>
      </c>
      <c r="F27" s="91"/>
      <c r="G27" s="84"/>
      <c r="H27" s="70">
        <v>0.03</v>
      </c>
      <c r="I27" s="33">
        <v>5</v>
      </c>
      <c r="J27" s="65">
        <f t="shared" si="0"/>
        <v>0.15</v>
      </c>
      <c r="M27" t="s">
        <v>125</v>
      </c>
      <c r="N27" t="s">
        <v>118</v>
      </c>
      <c r="O27" t="s">
        <v>126</v>
      </c>
    </row>
    <row r="28" spans="2:15" x14ac:dyDescent="0.3">
      <c r="B28" s="100"/>
      <c r="C28" s="103" t="s">
        <v>78</v>
      </c>
      <c r="D28" s="26" t="s">
        <v>79</v>
      </c>
      <c r="E28" s="26" t="s">
        <v>80</v>
      </c>
      <c r="F28" s="91"/>
      <c r="G28" s="84">
        <f>SUM(H28:H29)</f>
        <v>0.06</v>
      </c>
      <c r="H28" s="70">
        <v>0.03</v>
      </c>
      <c r="I28" s="33">
        <v>5</v>
      </c>
      <c r="J28" s="65">
        <f t="shared" si="0"/>
        <v>0.15</v>
      </c>
    </row>
    <row r="29" spans="2:15" x14ac:dyDescent="0.3">
      <c r="B29" s="100"/>
      <c r="C29" s="103"/>
      <c r="D29" s="26" t="s">
        <v>81</v>
      </c>
      <c r="E29" s="26" t="s">
        <v>82</v>
      </c>
      <c r="F29" s="91"/>
      <c r="G29" s="84"/>
      <c r="H29" s="70">
        <v>0.03</v>
      </c>
      <c r="I29" s="33">
        <v>5</v>
      </c>
      <c r="J29" s="65">
        <f t="shared" si="0"/>
        <v>0.15</v>
      </c>
    </row>
    <row r="30" spans="2:15" x14ac:dyDescent="0.3">
      <c r="B30" s="101" t="s">
        <v>97</v>
      </c>
      <c r="C30" s="96" t="s">
        <v>83</v>
      </c>
      <c r="D30" s="34" t="s">
        <v>84</v>
      </c>
      <c r="E30" s="34" t="s">
        <v>85</v>
      </c>
      <c r="F30" s="92">
        <v>0.15</v>
      </c>
      <c r="G30" s="85">
        <f>SUM(H30:H31)</f>
        <v>0.08</v>
      </c>
      <c r="H30" s="71">
        <v>0.04</v>
      </c>
      <c r="I30" s="35">
        <v>5</v>
      </c>
      <c r="J30" s="66">
        <f t="shared" si="0"/>
        <v>0.2</v>
      </c>
    </row>
    <row r="31" spans="2:15" x14ac:dyDescent="0.3">
      <c r="B31" s="101"/>
      <c r="C31" s="96"/>
      <c r="D31" s="34" t="s">
        <v>86</v>
      </c>
      <c r="E31" s="34" t="s">
        <v>87</v>
      </c>
      <c r="F31" s="92"/>
      <c r="G31" s="85"/>
      <c r="H31" s="71">
        <v>0.04</v>
      </c>
      <c r="I31" s="35">
        <v>5</v>
      </c>
      <c r="J31" s="66">
        <f t="shared" si="0"/>
        <v>0.2</v>
      </c>
    </row>
    <row r="32" spans="2:15" x14ac:dyDescent="0.3">
      <c r="B32" s="101"/>
      <c r="C32" s="96" t="s">
        <v>88</v>
      </c>
      <c r="D32" s="34" t="s">
        <v>89</v>
      </c>
      <c r="E32" s="34" t="s">
        <v>90</v>
      </c>
      <c r="F32" s="92"/>
      <c r="G32" s="85">
        <f>SUM(H32:H33)</f>
        <v>7.0000000000000007E-2</v>
      </c>
      <c r="H32" s="71">
        <v>0.04</v>
      </c>
      <c r="I32" s="35">
        <v>5</v>
      </c>
      <c r="J32" s="66">
        <f t="shared" si="0"/>
        <v>0.2</v>
      </c>
    </row>
    <row r="33" spans="2:10" x14ac:dyDescent="0.3">
      <c r="B33" s="101"/>
      <c r="C33" s="96"/>
      <c r="D33" s="34" t="s">
        <v>91</v>
      </c>
      <c r="E33" s="34" t="s">
        <v>92</v>
      </c>
      <c r="F33" s="92"/>
      <c r="G33" s="85"/>
      <c r="H33" s="71">
        <v>0.03</v>
      </c>
      <c r="I33" s="35">
        <v>5</v>
      </c>
      <c r="J33" s="66">
        <f t="shared" si="0"/>
        <v>0.15</v>
      </c>
    </row>
    <row r="34" spans="2:10" x14ac:dyDescent="0.3">
      <c r="B34" s="31"/>
      <c r="C34" s="28"/>
      <c r="D34" s="28"/>
      <c r="E34" s="28"/>
      <c r="F34" s="82">
        <f>SUM(F4:F33)</f>
        <v>1</v>
      </c>
      <c r="G34" s="28">
        <f>SUM(G4:G33)</f>
        <v>1</v>
      </c>
      <c r="H34" s="72">
        <f>SUM(H4:H33)</f>
        <v>1.0000000000000002</v>
      </c>
      <c r="I34" s="28"/>
      <c r="J34" s="72">
        <f>SUM(J4:J33)</f>
        <v>4.8400000000000007</v>
      </c>
    </row>
    <row r="36" spans="2:10" x14ac:dyDescent="0.3">
      <c r="C36" t="s">
        <v>113</v>
      </c>
    </row>
    <row r="37" spans="2:10" ht="28.8" x14ac:dyDescent="0.3">
      <c r="C37" s="40" t="s">
        <v>0</v>
      </c>
      <c r="D37" s="40" t="s">
        <v>1</v>
      </c>
      <c r="E37" s="40" t="s">
        <v>2</v>
      </c>
      <c r="F37" s="40" t="s">
        <v>3</v>
      </c>
      <c r="G37" s="40" t="s">
        <v>4</v>
      </c>
      <c r="H37" s="56" t="s">
        <v>99</v>
      </c>
      <c r="I37" s="40" t="s">
        <v>104</v>
      </c>
      <c r="J37" s="41" t="s">
        <v>103</v>
      </c>
    </row>
    <row r="38" spans="2:10" x14ac:dyDescent="0.3">
      <c r="C38" s="21">
        <v>1</v>
      </c>
      <c r="D38" s="42" t="s">
        <v>5</v>
      </c>
      <c r="E38" s="43" t="s">
        <v>6</v>
      </c>
      <c r="F38" s="44">
        <v>0.25</v>
      </c>
      <c r="G38" s="45">
        <v>8</v>
      </c>
      <c r="H38" s="73">
        <f>F38/G38</f>
        <v>3.125E-2</v>
      </c>
      <c r="I38" s="28">
        <f xml:space="preserve"> AVERAGE(I4:I11)</f>
        <v>4.5</v>
      </c>
      <c r="J38" s="72">
        <f>SUM(J4:J11)</f>
        <v>1.0900000000000001</v>
      </c>
    </row>
    <row r="39" spans="2:10" x14ac:dyDescent="0.3">
      <c r="C39" s="21">
        <v>2</v>
      </c>
      <c r="D39" s="46" t="s">
        <v>7</v>
      </c>
      <c r="E39" s="47" t="s">
        <v>8</v>
      </c>
      <c r="F39" s="48">
        <v>0.2</v>
      </c>
      <c r="G39" s="49">
        <v>6</v>
      </c>
      <c r="H39" s="73">
        <f t="shared" ref="H39:H42" si="1">F39/G39</f>
        <v>3.3333333333333333E-2</v>
      </c>
      <c r="I39" s="28">
        <f>AVERAGE(I12:I17)</f>
        <v>5</v>
      </c>
      <c r="J39" s="72">
        <f>SUM(J12:J17)</f>
        <v>1</v>
      </c>
    </row>
    <row r="40" spans="2:10" x14ac:dyDescent="0.3">
      <c r="C40" s="21">
        <v>3</v>
      </c>
      <c r="D40" s="50" t="s">
        <v>9</v>
      </c>
      <c r="E40" s="47" t="s">
        <v>10</v>
      </c>
      <c r="F40" s="48">
        <v>0.2</v>
      </c>
      <c r="G40" s="49">
        <v>6</v>
      </c>
      <c r="H40" s="73">
        <f t="shared" si="1"/>
        <v>3.3333333333333333E-2</v>
      </c>
      <c r="I40" s="28">
        <f>AVERAGE(I18:I23)</f>
        <v>5</v>
      </c>
      <c r="J40" s="72">
        <f>SUM(J18:J23)</f>
        <v>1</v>
      </c>
    </row>
    <row r="41" spans="2:10" x14ac:dyDescent="0.3">
      <c r="C41" s="21">
        <v>4</v>
      </c>
      <c r="D41" s="51" t="s">
        <v>11</v>
      </c>
      <c r="E41" s="47" t="s">
        <v>12</v>
      </c>
      <c r="F41" s="48">
        <v>0.2</v>
      </c>
      <c r="G41" s="49">
        <v>6</v>
      </c>
      <c r="H41" s="73">
        <f t="shared" si="1"/>
        <v>3.3333333333333333E-2</v>
      </c>
      <c r="I41" s="28">
        <f>AVERAGE(I24:I29)</f>
        <v>5</v>
      </c>
      <c r="J41" s="72">
        <f>SUM(J24:J29)</f>
        <v>1</v>
      </c>
    </row>
    <row r="42" spans="2:10" x14ac:dyDescent="0.3">
      <c r="C42" s="21">
        <v>5</v>
      </c>
      <c r="D42" s="52" t="s">
        <v>13</v>
      </c>
      <c r="E42" s="47" t="s">
        <v>14</v>
      </c>
      <c r="F42" s="48">
        <v>0.15</v>
      </c>
      <c r="G42" s="49">
        <v>4</v>
      </c>
      <c r="H42" s="73">
        <f t="shared" si="1"/>
        <v>3.7499999999999999E-2</v>
      </c>
      <c r="I42" s="28">
        <f>AVERAGE(I30:I33)</f>
        <v>5</v>
      </c>
      <c r="J42" s="72">
        <f>SUM(J30:J33)</f>
        <v>0.75000000000000011</v>
      </c>
    </row>
    <row r="43" spans="2:10" ht="15.6" x14ac:dyDescent="0.3">
      <c r="C43" s="53"/>
      <c r="D43" s="54" t="s">
        <v>15</v>
      </c>
      <c r="E43" s="54"/>
      <c r="F43" s="55">
        <v>1</v>
      </c>
      <c r="G43" s="56">
        <v>30</v>
      </c>
      <c r="H43" s="56">
        <v>30</v>
      </c>
      <c r="I43" s="57"/>
      <c r="J43" s="83">
        <f>SUM(J38:J42)</f>
        <v>4.84</v>
      </c>
    </row>
    <row r="45" spans="2:10" ht="15" thickBot="1" x14ac:dyDescent="0.35">
      <c r="C45" s="20" t="s">
        <v>112</v>
      </c>
    </row>
    <row r="46" spans="2:10" ht="15" thickBot="1" x14ac:dyDescent="0.35">
      <c r="C46" s="74" t="s">
        <v>105</v>
      </c>
      <c r="D46" s="75" t="s">
        <v>106</v>
      </c>
    </row>
    <row r="47" spans="2:10" ht="15" thickBot="1" x14ac:dyDescent="0.35">
      <c r="C47" s="76">
        <v>1</v>
      </c>
      <c r="D47" s="77" t="s">
        <v>107</v>
      </c>
    </row>
    <row r="48" spans="2:10" ht="15" thickBot="1" x14ac:dyDescent="0.35">
      <c r="C48" s="78">
        <v>2</v>
      </c>
      <c r="D48" s="77" t="s">
        <v>108</v>
      </c>
    </row>
    <row r="49" spans="3:4" ht="15" thickBot="1" x14ac:dyDescent="0.35">
      <c r="C49" s="79">
        <v>3</v>
      </c>
      <c r="D49" s="77" t="s">
        <v>109</v>
      </c>
    </row>
    <row r="50" spans="3:4" ht="15" thickBot="1" x14ac:dyDescent="0.35">
      <c r="C50" s="80">
        <v>4</v>
      </c>
      <c r="D50" s="77" t="s">
        <v>110</v>
      </c>
    </row>
    <row r="51" spans="3:4" ht="15" thickBot="1" x14ac:dyDescent="0.35">
      <c r="C51" s="81">
        <v>5</v>
      </c>
      <c r="D51" s="77" t="s">
        <v>111</v>
      </c>
    </row>
  </sheetData>
  <mergeCells count="38">
    <mergeCell ref="C12:C13"/>
    <mergeCell ref="C14:C15"/>
    <mergeCell ref="C16:C17"/>
    <mergeCell ref="C30:C31"/>
    <mergeCell ref="C32:C33"/>
    <mergeCell ref="B4:B11"/>
    <mergeCell ref="B12:B17"/>
    <mergeCell ref="B18:B23"/>
    <mergeCell ref="B24:B29"/>
    <mergeCell ref="B30:B33"/>
    <mergeCell ref="C18:C19"/>
    <mergeCell ref="C20:C21"/>
    <mergeCell ref="C22:C23"/>
    <mergeCell ref="C24:C25"/>
    <mergeCell ref="C26:C27"/>
    <mergeCell ref="C28:C29"/>
    <mergeCell ref="C4:C6"/>
    <mergeCell ref="C7:C9"/>
    <mergeCell ref="C10:C11"/>
    <mergeCell ref="G4:G6"/>
    <mergeCell ref="G7:G9"/>
    <mergeCell ref="G10:G11"/>
    <mergeCell ref="G12:G13"/>
    <mergeCell ref="G14:G15"/>
    <mergeCell ref="F4:F11"/>
    <mergeCell ref="F12:F17"/>
    <mergeCell ref="F18:F23"/>
    <mergeCell ref="F24:F29"/>
    <mergeCell ref="F30:F33"/>
    <mergeCell ref="G28:G29"/>
    <mergeCell ref="G30:G31"/>
    <mergeCell ref="G32:G33"/>
    <mergeCell ref="G16:G17"/>
    <mergeCell ref="G18:G19"/>
    <mergeCell ref="G20:G21"/>
    <mergeCell ref="G22:G23"/>
    <mergeCell ref="G24:G25"/>
    <mergeCell ref="G26:G2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A7315-6B06-4B19-A4D2-8AE5C8A450F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Dimesi</vt:lpstr>
      <vt:lpstr>Framework</vt:lpstr>
      <vt:lpstr>Jenis indutri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Hidayatullah, SE., M.Si, M.Kom., Ak.</dc:creator>
  <cp:lastModifiedBy>Hidayatullah, SE., M.Si, M.Kom., Ak.</cp:lastModifiedBy>
  <dcterms:created xsi:type="dcterms:W3CDTF">2026-03-29T06:24:35Z</dcterms:created>
  <dcterms:modified xsi:type="dcterms:W3CDTF">2026-03-29T14:40:53Z</dcterms:modified>
</cp:coreProperties>
</file>